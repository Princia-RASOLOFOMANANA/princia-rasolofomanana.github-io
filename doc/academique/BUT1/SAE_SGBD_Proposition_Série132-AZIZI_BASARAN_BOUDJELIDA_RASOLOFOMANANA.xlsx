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BUT1\SAE\SAE SQBD\"/>
    </mc:Choice>
  </mc:AlternateContent>
  <xr:revisionPtr revIDLastSave="0" documentId="13_ncr:1_{903B90F6-25EE-40CA-A9CB-FCEFA99EFBE1}" xr6:coauthVersionLast="47" xr6:coauthVersionMax="47" xr10:uidLastSave="{00000000-0000-0000-0000-000000000000}"/>
  <bookViews>
    <workbookView xWindow="-120" yWindow="-120" windowWidth="29040" windowHeight="15840" xr2:uid="{ED82217D-5C72-4363-A265-51FC2E322858}"/>
  </bookViews>
  <sheets>
    <sheet name="Proposition d'ajuste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I21" i="2"/>
  <c r="H21" i="2"/>
  <c r="G21" i="2"/>
  <c r="F21" i="2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3" i="2"/>
  <c r="N3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3" i="2"/>
  <c r="M21" i="2" l="1"/>
  <c r="N21" i="2" s="1"/>
  <c r="L18" i="2"/>
  <c r="L14" i="2"/>
  <c r="L10" i="2"/>
  <c r="L6" i="2"/>
  <c r="L20" i="2"/>
  <c r="L16" i="2"/>
  <c r="L12" i="2"/>
  <c r="L8" i="2"/>
  <c r="L4" i="2"/>
  <c r="K21" i="2"/>
  <c r="J21" i="2"/>
  <c r="L19" i="2"/>
  <c r="L15" i="2"/>
  <c r="L11" i="2"/>
  <c r="L7" i="2"/>
  <c r="L3" i="2"/>
  <c r="L17" i="2"/>
  <c r="L13" i="2"/>
  <c r="L9" i="2"/>
  <c r="L5" i="2"/>
  <c r="L21" i="2" l="1"/>
  <c r="O21" i="2" s="1"/>
</calcChain>
</file>

<file path=xl/sharedStrings.xml><?xml version="1.0" encoding="utf-8"?>
<sst xmlns="http://schemas.openxmlformats.org/spreadsheetml/2006/main" count="87" uniqueCount="33">
  <si>
    <t>ID_zone</t>
  </si>
  <si>
    <t>Lib_zone</t>
  </si>
  <si>
    <t>Code_categ</t>
  </si>
  <si>
    <t>Effectif_Real_A</t>
  </si>
  <si>
    <t>Effectif_PREV_A1</t>
  </si>
  <si>
    <t>NB210900</t>
  </si>
  <si>
    <t>TOT_DIJON ZONE HP_NB210900</t>
  </si>
  <si>
    <t>PR04</t>
  </si>
  <si>
    <t>PR05</t>
  </si>
  <si>
    <t>PR06</t>
  </si>
  <si>
    <t>NB250640</t>
  </si>
  <si>
    <t>TOT_BESANCON ZONE HP_NB250640</t>
  </si>
  <si>
    <t>NB381960</t>
  </si>
  <si>
    <t>TOT_GRENOBLE ZONE HP_NB381960</t>
  </si>
  <si>
    <t>NB421420</t>
  </si>
  <si>
    <t>TOT_SAINT ETIENNE ZONE HP_NB421420</t>
  </si>
  <si>
    <t>NB633510</t>
  </si>
  <si>
    <t>TOT_CLERMONT FERRAND ZONE HP_NB633510</t>
  </si>
  <si>
    <t>NB694440</t>
  </si>
  <si>
    <t>TOT_LYON ZONE HP_NB694440</t>
  </si>
  <si>
    <t>Volume_Real_A</t>
  </si>
  <si>
    <t>Volume_PREV_A1</t>
  </si>
  <si>
    <t>Ecart_volume</t>
  </si>
  <si>
    <t>Nom_categ</t>
  </si>
  <si>
    <t>FRUITS PR04</t>
  </si>
  <si>
    <t>FRUITS EXOTIQUES PR05</t>
  </si>
  <si>
    <t>LEGUMES PR06</t>
  </si>
  <si>
    <t>Commentaire</t>
  </si>
  <si>
    <t>Productivite_REAL_A</t>
  </si>
  <si>
    <t>Productivite_PREV</t>
  </si>
  <si>
    <t>TV_Productivite</t>
  </si>
  <si>
    <t>total</t>
  </si>
  <si>
    <t>Décision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</si>
</sst>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60">
    <xf numFmtId="0" fontId="0" fillId="0" borderId="0" xfId="0"/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horizontal="righ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4" borderId="2" xfId="1" applyFont="1" applyFill="1" applyBorder="1" applyAlignment="1">
      <alignment horizontal="left" vertical="center"/>
    </xf>
    <xf numFmtId="0" fontId="2" fillId="4" borderId="3" xfId="1" applyFont="1" applyFill="1" applyBorder="1" applyAlignment="1">
      <alignment horizontal="left" vertical="center"/>
    </xf>
    <xf numFmtId="0" fontId="2" fillId="4" borderId="3" xfId="1" applyFont="1" applyFill="1" applyBorder="1" applyAlignment="1">
      <alignment horizontal="left"/>
    </xf>
    <xf numFmtId="0" fontId="2" fillId="4" borderId="15" xfId="1" applyFont="1" applyFill="1" applyBorder="1" applyAlignment="1">
      <alignment horizontal="left" vertical="center"/>
    </xf>
    <xf numFmtId="0" fontId="3" fillId="2" borderId="16" xfId="1" applyFont="1" applyFill="1" applyBorder="1" applyAlignment="1">
      <alignment horizontal="left" vertical="center" wrapText="1"/>
    </xf>
    <xf numFmtId="0" fontId="3" fillId="2" borderId="8" xfId="1" applyFont="1" applyFill="1" applyBorder="1" applyAlignment="1">
      <alignment horizontal="left" vertical="center" wrapText="1"/>
    </xf>
    <xf numFmtId="0" fontId="3" fillId="2" borderId="8" xfId="1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/>
    </xf>
    <xf numFmtId="0" fontId="3" fillId="2" borderId="10" xfId="1" applyFont="1" applyFill="1" applyBorder="1" applyAlignment="1">
      <alignment horizontal="left" vertical="center" wrapText="1"/>
    </xf>
    <xf numFmtId="0" fontId="3" fillId="2" borderId="11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left" vertical="center" wrapText="1"/>
    </xf>
    <xf numFmtId="0" fontId="3" fillId="2" borderId="11" xfId="1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3" fillId="2" borderId="6" xfId="1" applyFont="1" applyFill="1" applyBorder="1" applyAlignment="1">
      <alignment horizontal="left" vertical="center" wrapText="1"/>
    </xf>
    <xf numFmtId="0" fontId="3" fillId="2" borderId="7" xfId="1" applyFont="1" applyFill="1" applyBorder="1" applyAlignment="1">
      <alignment horizontal="left" vertical="center" wrapText="1"/>
    </xf>
    <xf numFmtId="0" fontId="3" fillId="2" borderId="9" xfId="1" applyFont="1" applyFill="1" applyBorder="1" applyAlignment="1">
      <alignment horizontal="left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9" xfId="1" applyFont="1" applyFill="1" applyBorder="1" applyAlignment="1">
      <alignment horizontal="left" wrapText="1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3" fillId="2" borderId="19" xfId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 wrapText="1"/>
    </xf>
    <xf numFmtId="0" fontId="3" fillId="2" borderId="20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wrapText="1"/>
    </xf>
    <xf numFmtId="0" fontId="4" fillId="2" borderId="13" xfId="0" applyFont="1" applyFill="1" applyBorder="1" applyAlignment="1">
      <alignment horizontal="left"/>
    </xf>
    <xf numFmtId="0" fontId="3" fillId="2" borderId="11" xfId="1" applyFont="1" applyFill="1" applyBorder="1" applyAlignment="1">
      <alignment horizontal="right" vertical="center" wrapText="1"/>
    </xf>
    <xf numFmtId="0" fontId="3" fillId="2" borderId="8" xfId="1" applyFont="1" applyFill="1" applyBorder="1" applyAlignment="1">
      <alignment horizontal="right" vertical="center" wrapText="1"/>
    </xf>
    <xf numFmtId="0" fontId="3" fillId="2" borderId="13" xfId="1" applyFont="1" applyFill="1" applyBorder="1" applyAlignment="1">
      <alignment horizontal="right" vertical="center" wrapText="1"/>
    </xf>
    <xf numFmtId="0" fontId="3" fillId="2" borderId="9" xfId="1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167" fontId="4" fillId="2" borderId="11" xfId="2" applyNumberFormat="1" applyFont="1" applyFill="1" applyBorder="1" applyAlignment="1">
      <alignment horizontal="right"/>
    </xf>
    <xf numFmtId="167" fontId="4" fillId="2" borderId="8" xfId="2" applyNumberFormat="1" applyFont="1" applyFill="1" applyBorder="1" applyAlignment="1">
      <alignment horizontal="right"/>
    </xf>
    <xf numFmtId="167" fontId="4" fillId="2" borderId="1" xfId="2" applyNumberFormat="1" applyFont="1" applyFill="1" applyBorder="1" applyAlignment="1">
      <alignment horizontal="right"/>
    </xf>
    <xf numFmtId="167" fontId="4" fillId="2" borderId="13" xfId="2" applyNumberFormat="1" applyFont="1" applyFill="1" applyBorder="1" applyAlignment="1">
      <alignment horizontal="right"/>
    </xf>
    <xf numFmtId="167" fontId="4" fillId="2" borderId="9" xfId="2" applyNumberFormat="1" applyFont="1" applyFill="1" applyBorder="1" applyAlignment="1">
      <alignment horizontal="right"/>
    </xf>
    <xf numFmtId="167" fontId="4" fillId="2" borderId="3" xfId="2" applyNumberFormat="1" applyFont="1" applyFill="1" applyBorder="1" applyAlignment="1">
      <alignment horizontal="right"/>
    </xf>
    <xf numFmtId="167" fontId="3" fillId="2" borderId="11" xfId="1" applyNumberFormat="1" applyFont="1" applyFill="1" applyBorder="1" applyAlignment="1">
      <alignment horizontal="right" wrapText="1"/>
    </xf>
    <xf numFmtId="167" fontId="4" fillId="2" borderId="11" xfId="0" applyNumberFormat="1" applyFont="1" applyFill="1" applyBorder="1" applyAlignment="1">
      <alignment horizontal="right"/>
    </xf>
    <xf numFmtId="167" fontId="3" fillId="2" borderId="8" xfId="1" applyNumberFormat="1" applyFont="1" applyFill="1" applyBorder="1" applyAlignment="1">
      <alignment horizontal="right" wrapText="1"/>
    </xf>
    <xf numFmtId="167" fontId="4" fillId="2" borderId="8" xfId="0" applyNumberFormat="1" applyFont="1" applyFill="1" applyBorder="1" applyAlignment="1">
      <alignment horizontal="right"/>
    </xf>
    <xf numFmtId="167" fontId="3" fillId="2" borderId="1" xfId="1" applyNumberFormat="1" applyFont="1" applyFill="1" applyBorder="1" applyAlignment="1">
      <alignment horizontal="right" wrapText="1"/>
    </xf>
    <xf numFmtId="167" fontId="4" fillId="2" borderId="1" xfId="0" applyNumberFormat="1" applyFont="1" applyFill="1" applyBorder="1" applyAlignment="1">
      <alignment horizontal="right"/>
    </xf>
    <xf numFmtId="167" fontId="3" fillId="2" borderId="13" xfId="1" applyNumberFormat="1" applyFont="1" applyFill="1" applyBorder="1" applyAlignment="1">
      <alignment horizontal="right" wrapText="1"/>
    </xf>
    <xf numFmtId="167" fontId="4" fillId="2" borderId="13" xfId="0" applyNumberFormat="1" applyFont="1" applyFill="1" applyBorder="1" applyAlignment="1">
      <alignment horizontal="right"/>
    </xf>
    <xf numFmtId="167" fontId="3" fillId="2" borderId="9" xfId="1" applyNumberFormat="1" applyFont="1" applyFill="1" applyBorder="1" applyAlignment="1">
      <alignment horizontal="right" wrapText="1"/>
    </xf>
    <xf numFmtId="167" fontId="4" fillId="2" borderId="9" xfId="0" applyNumberFormat="1" applyFont="1" applyFill="1" applyBorder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0" fontId="4" fillId="3" borderId="17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</cellXfs>
  <cellStyles count="3">
    <cellStyle name="Normal" xfId="0" builtinId="0"/>
    <cellStyle name="Normal_Feuil1" xfId="1" xr:uid="{79CA3B2B-13CC-4341-AAF5-3C918A13FC5A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6D5C-3C39-4FD5-B10A-F5CDA118EBCD}">
  <dimension ref="B1:O21"/>
  <sheetViews>
    <sheetView tabSelected="1" zoomScale="42" zoomScaleNormal="54" workbookViewId="0">
      <selection activeCell="C81" sqref="C81"/>
    </sheetView>
  </sheetViews>
  <sheetFormatPr baseColWidth="10" defaultRowHeight="15" x14ac:dyDescent="0.25"/>
  <cols>
    <col min="1" max="1" width="11.42578125" style="5"/>
    <col min="2" max="2" width="16.5703125" style="5" customWidth="1"/>
    <col min="3" max="3" width="71.28515625" style="5" customWidth="1"/>
    <col min="4" max="4" width="11.42578125" style="5"/>
    <col min="5" max="5" width="34.42578125" style="5" customWidth="1"/>
    <col min="6" max="6" width="18.28515625" style="5" bestFit="1" customWidth="1"/>
    <col min="7" max="7" width="21.140625" style="5" bestFit="1" customWidth="1"/>
    <col min="8" max="8" width="19.140625" style="5" bestFit="1" customWidth="1"/>
    <col min="9" max="9" width="21.7109375" style="5" bestFit="1" customWidth="1"/>
    <col min="10" max="10" width="25.140625" style="5" bestFit="1" customWidth="1"/>
    <col min="11" max="11" width="22.42578125" style="5" bestFit="1" customWidth="1"/>
    <col min="12" max="12" width="19.140625" style="5" bestFit="1" customWidth="1"/>
    <col min="13" max="13" width="16.5703125" style="5" bestFit="1" customWidth="1"/>
    <col min="14" max="14" width="41.5703125" style="5" customWidth="1"/>
    <col min="15" max="15" width="24.85546875" style="5" customWidth="1"/>
    <col min="16" max="16384" width="11.42578125" style="5"/>
  </cols>
  <sheetData>
    <row r="1" spans="2:15" ht="15.75" thickBot="1" x14ac:dyDescent="0.3"/>
    <row r="2" spans="2:15" ht="16.5" thickBot="1" x14ac:dyDescent="0.3">
      <c r="B2" s="7" t="s">
        <v>0</v>
      </c>
      <c r="C2" s="8" t="s">
        <v>1</v>
      </c>
      <c r="D2" s="10" t="s">
        <v>2</v>
      </c>
      <c r="E2" s="9" t="s">
        <v>23</v>
      </c>
      <c r="F2" s="8" t="s">
        <v>3</v>
      </c>
      <c r="G2" s="8" t="s">
        <v>4</v>
      </c>
      <c r="H2" s="9" t="s">
        <v>20</v>
      </c>
      <c r="I2" s="9" t="s">
        <v>21</v>
      </c>
      <c r="J2" s="8" t="s">
        <v>28</v>
      </c>
      <c r="K2" s="8" t="s">
        <v>29</v>
      </c>
      <c r="L2" s="8" t="s">
        <v>30</v>
      </c>
      <c r="M2" s="8" t="s">
        <v>22</v>
      </c>
      <c r="N2" s="8" t="s">
        <v>27</v>
      </c>
      <c r="O2" s="8" t="s">
        <v>32</v>
      </c>
    </row>
    <row r="3" spans="2:15" ht="16.5" thickBot="1" x14ac:dyDescent="0.3">
      <c r="B3" s="15" t="s">
        <v>5</v>
      </c>
      <c r="C3" s="16" t="s">
        <v>6</v>
      </c>
      <c r="D3" s="17" t="s">
        <v>7</v>
      </c>
      <c r="E3" s="18" t="s">
        <v>24</v>
      </c>
      <c r="F3" s="35">
        <v>1.32</v>
      </c>
      <c r="G3" s="35">
        <v>1.33</v>
      </c>
      <c r="H3" s="47">
        <v>14062.02</v>
      </c>
      <c r="I3" s="47">
        <v>14425.97</v>
      </c>
      <c r="J3" s="48">
        <f>H3/F3</f>
        <v>10653.045454545454</v>
      </c>
      <c r="K3" s="48">
        <f>I3/G3</f>
        <v>10846.593984962405</v>
      </c>
      <c r="L3" s="41">
        <f>(K3-J3)/J3</f>
        <v>1.8168375535689382E-2</v>
      </c>
      <c r="M3" s="48">
        <f>I3-H3</f>
        <v>363.94999999999891</v>
      </c>
      <c r="N3" s="19" t="str">
        <f>IF(M3&gt;0,"Surcroît d'activité (plus d'effectifs)","Baisse d'activité (moins d'effectifs)")</f>
        <v>Surcroît d'activité (plus d'effectifs)</v>
      </c>
      <c r="O3" s="58" t="str">
        <f>IF(L3&lt;=0, "Augmenter", IF(AND(L3&gt;0, L3&lt;0.1), "Pas d'ajustement", IF(L3&gt;=0.1, "Réduire", "Pas d'ajustement")))</f>
        <v>Pas d'ajustement</v>
      </c>
    </row>
    <row r="4" spans="2:15" ht="16.5" thickBot="1" x14ac:dyDescent="0.3">
      <c r="B4" s="20" t="s">
        <v>5</v>
      </c>
      <c r="C4" s="12" t="s">
        <v>6</v>
      </c>
      <c r="D4" s="11" t="s">
        <v>8</v>
      </c>
      <c r="E4" s="13" t="s">
        <v>25</v>
      </c>
      <c r="F4" s="36">
        <v>0.28999999999999998</v>
      </c>
      <c r="G4" s="36">
        <v>0.28000000000000003</v>
      </c>
      <c r="H4" s="49">
        <v>410.68</v>
      </c>
      <c r="I4" s="49">
        <v>428.07</v>
      </c>
      <c r="J4" s="50">
        <f t="shared" ref="J4:J21" si="0">H4/F4</f>
        <v>1416.1379310344828</v>
      </c>
      <c r="K4" s="50">
        <f t="shared" ref="K4:K21" si="1">I4/G4</f>
        <v>1528.8214285714284</v>
      </c>
      <c r="L4" s="42">
        <f t="shared" ref="L4:L21" si="2">(K4-J4)/J4</f>
        <v>7.9570990273970577E-2</v>
      </c>
      <c r="M4" s="50">
        <f t="shared" ref="M4:M21" si="3">I4-H4</f>
        <v>17.389999999999986</v>
      </c>
      <c r="N4" s="14" t="str">
        <f t="shared" ref="N4:N21" si="4">IF(M4&gt;0,"Surcroît d'activité (plus d'effectifs)","Baisse d'activité (moins d'effectifs)")</f>
        <v>Surcroît d'activité (plus d'effectifs)</v>
      </c>
      <c r="O4" s="58" t="str">
        <f t="shared" ref="O4:O20" si="5">IF(L4&lt;=0, "Augmenter", IF(AND(L4&gt;0, L4&lt;0.1), "Pas d'ajustement", IF(L4&gt;=0.1, "Réduire", "Pas d'ajustement")))</f>
        <v>Pas d'ajustement</v>
      </c>
    </row>
    <row r="5" spans="2:15" ht="16.5" thickBot="1" x14ac:dyDescent="0.3">
      <c r="B5" s="4" t="s">
        <v>5</v>
      </c>
      <c r="C5" s="1" t="s">
        <v>6</v>
      </c>
      <c r="D5" s="28" t="s">
        <v>9</v>
      </c>
      <c r="E5" s="2" t="s">
        <v>26</v>
      </c>
      <c r="F5" s="3">
        <v>0.49</v>
      </c>
      <c r="G5" s="3">
        <v>0.54</v>
      </c>
      <c r="H5" s="51">
        <v>6212</v>
      </c>
      <c r="I5" s="51">
        <v>6732.16</v>
      </c>
      <c r="J5" s="52">
        <f t="shared" si="0"/>
        <v>12677.551020408164</v>
      </c>
      <c r="K5" s="52">
        <f t="shared" si="1"/>
        <v>12466.962962962962</v>
      </c>
      <c r="L5" s="43">
        <f t="shared" si="2"/>
        <v>-1.6611099186759345E-2</v>
      </c>
      <c r="M5" s="52">
        <f t="shared" si="3"/>
        <v>520.15999999999985</v>
      </c>
      <c r="N5" s="29" t="str">
        <f t="shared" si="4"/>
        <v>Surcroît d'activité (plus d'effectifs)</v>
      </c>
      <c r="O5" s="58" t="str">
        <f t="shared" si="5"/>
        <v>Augmenter</v>
      </c>
    </row>
    <row r="6" spans="2:15" ht="16.5" thickBot="1" x14ac:dyDescent="0.3">
      <c r="B6" s="30" t="s">
        <v>10</v>
      </c>
      <c r="C6" s="31" t="s">
        <v>11</v>
      </c>
      <c r="D6" s="32" t="s">
        <v>7</v>
      </c>
      <c r="E6" s="33" t="s">
        <v>24</v>
      </c>
      <c r="F6" s="37">
        <v>1.65</v>
      </c>
      <c r="G6" s="37">
        <v>1.77</v>
      </c>
      <c r="H6" s="53">
        <v>8180.29</v>
      </c>
      <c r="I6" s="53">
        <v>9437.0499999999993</v>
      </c>
      <c r="J6" s="54">
        <f t="shared" si="0"/>
        <v>4957.7515151515154</v>
      </c>
      <c r="K6" s="54">
        <f t="shared" si="1"/>
        <v>5331.6666666666661</v>
      </c>
      <c r="L6" s="44">
        <f t="shared" si="2"/>
        <v>7.5420309059947579E-2</v>
      </c>
      <c r="M6" s="54">
        <f t="shared" si="3"/>
        <v>1256.7599999999993</v>
      </c>
      <c r="N6" s="34" t="str">
        <f t="shared" si="4"/>
        <v>Surcroît d'activité (plus d'effectifs)</v>
      </c>
      <c r="O6" s="58" t="str">
        <f t="shared" si="5"/>
        <v>Pas d'ajustement</v>
      </c>
    </row>
    <row r="7" spans="2:15" ht="16.5" thickBot="1" x14ac:dyDescent="0.3">
      <c r="B7" s="20" t="s">
        <v>10</v>
      </c>
      <c r="C7" s="12" t="s">
        <v>11</v>
      </c>
      <c r="D7" s="11" t="s">
        <v>8</v>
      </c>
      <c r="E7" s="13" t="s">
        <v>25</v>
      </c>
      <c r="F7" s="36">
        <v>0.18</v>
      </c>
      <c r="G7" s="36">
        <v>0.19</v>
      </c>
      <c r="H7" s="49">
        <v>203.8</v>
      </c>
      <c r="I7" s="49">
        <v>200.46</v>
      </c>
      <c r="J7" s="50">
        <f t="shared" si="0"/>
        <v>1132.2222222222224</v>
      </c>
      <c r="K7" s="50">
        <f t="shared" si="1"/>
        <v>1055.0526315789473</v>
      </c>
      <c r="L7" s="42">
        <f t="shared" si="2"/>
        <v>-6.8157636485718931E-2</v>
      </c>
      <c r="M7" s="50">
        <f t="shared" si="3"/>
        <v>-3.3400000000000034</v>
      </c>
      <c r="N7" s="14" t="str">
        <f t="shared" si="4"/>
        <v>Baisse d'activité (moins d'effectifs)</v>
      </c>
      <c r="O7" s="58" t="str">
        <f t="shared" si="5"/>
        <v>Augmenter</v>
      </c>
    </row>
    <row r="8" spans="2:15" ht="16.5" thickBot="1" x14ac:dyDescent="0.3">
      <c r="B8" s="4" t="s">
        <v>10</v>
      </c>
      <c r="C8" s="1" t="s">
        <v>11</v>
      </c>
      <c r="D8" s="28" t="s">
        <v>9</v>
      </c>
      <c r="E8" s="2" t="s">
        <v>26</v>
      </c>
      <c r="F8" s="3">
        <v>0.67</v>
      </c>
      <c r="G8" s="3">
        <v>0.73</v>
      </c>
      <c r="H8" s="51">
        <v>3828.3</v>
      </c>
      <c r="I8" s="51">
        <v>4299.8100000000004</v>
      </c>
      <c r="J8" s="52">
        <f t="shared" si="0"/>
        <v>5713.8805970149251</v>
      </c>
      <c r="K8" s="52">
        <f t="shared" si="1"/>
        <v>5890.1506849315074</v>
      </c>
      <c r="L8" s="43">
        <f t="shared" si="2"/>
        <v>3.0849452473450389E-2</v>
      </c>
      <c r="M8" s="52">
        <f t="shared" si="3"/>
        <v>471.51000000000022</v>
      </c>
      <c r="N8" s="29" t="str">
        <f t="shared" si="4"/>
        <v>Surcroît d'activité (plus d'effectifs)</v>
      </c>
      <c r="O8" s="58" t="str">
        <f t="shared" si="5"/>
        <v>Pas d'ajustement</v>
      </c>
    </row>
    <row r="9" spans="2:15" ht="16.5" thickBot="1" x14ac:dyDescent="0.3">
      <c r="B9" s="30" t="s">
        <v>12</v>
      </c>
      <c r="C9" s="31" t="s">
        <v>13</v>
      </c>
      <c r="D9" s="32" t="s">
        <v>7</v>
      </c>
      <c r="E9" s="33" t="s">
        <v>24</v>
      </c>
      <c r="F9" s="37">
        <v>1.23</v>
      </c>
      <c r="G9" s="37">
        <v>1.1299999999999999</v>
      </c>
      <c r="H9" s="53">
        <v>17457.72</v>
      </c>
      <c r="I9" s="53">
        <v>18588.96</v>
      </c>
      <c r="J9" s="54">
        <f t="shared" si="0"/>
        <v>14193.268292682927</v>
      </c>
      <c r="K9" s="54">
        <f t="shared" si="1"/>
        <v>16450.407079646018</v>
      </c>
      <c r="L9" s="44">
        <f t="shared" si="2"/>
        <v>0.15902882552616271</v>
      </c>
      <c r="M9" s="54">
        <f t="shared" si="3"/>
        <v>1131.239999999998</v>
      </c>
      <c r="N9" s="34" t="str">
        <f t="shared" si="4"/>
        <v>Surcroît d'activité (plus d'effectifs)</v>
      </c>
      <c r="O9" s="58" t="str">
        <f t="shared" si="5"/>
        <v>Réduire</v>
      </c>
    </row>
    <row r="10" spans="2:15" ht="16.5" thickBot="1" x14ac:dyDescent="0.3">
      <c r="B10" s="20" t="s">
        <v>12</v>
      </c>
      <c r="C10" s="12" t="s">
        <v>13</v>
      </c>
      <c r="D10" s="11" t="s">
        <v>8</v>
      </c>
      <c r="E10" s="13" t="s">
        <v>25</v>
      </c>
      <c r="F10" s="36">
        <v>0.44</v>
      </c>
      <c r="G10" s="36">
        <v>0.42</v>
      </c>
      <c r="H10" s="49">
        <v>513.83000000000004</v>
      </c>
      <c r="I10" s="49">
        <v>401.14</v>
      </c>
      <c r="J10" s="50">
        <f t="shared" si="0"/>
        <v>1167.7954545454547</v>
      </c>
      <c r="K10" s="50">
        <f t="shared" si="1"/>
        <v>955.09523809523807</v>
      </c>
      <c r="L10" s="42">
        <f t="shared" si="2"/>
        <v>-0.18213824657590119</v>
      </c>
      <c r="M10" s="50">
        <f t="shared" si="3"/>
        <v>-112.69000000000005</v>
      </c>
      <c r="N10" s="14" t="str">
        <f t="shared" si="4"/>
        <v>Baisse d'activité (moins d'effectifs)</v>
      </c>
      <c r="O10" s="58" t="str">
        <f t="shared" si="5"/>
        <v>Augmenter</v>
      </c>
    </row>
    <row r="11" spans="2:15" ht="16.5" thickBot="1" x14ac:dyDescent="0.3">
      <c r="B11" s="4" t="s">
        <v>12</v>
      </c>
      <c r="C11" s="1" t="s">
        <v>13</v>
      </c>
      <c r="D11" s="28" t="s">
        <v>9</v>
      </c>
      <c r="E11" s="2" t="s">
        <v>26</v>
      </c>
      <c r="F11" s="3">
        <v>0.51</v>
      </c>
      <c r="G11" s="3">
        <v>0.49</v>
      </c>
      <c r="H11" s="51">
        <v>9226.14</v>
      </c>
      <c r="I11" s="51">
        <v>9839.7900000000009</v>
      </c>
      <c r="J11" s="52">
        <f t="shared" si="0"/>
        <v>18090.470588235294</v>
      </c>
      <c r="K11" s="52">
        <f t="shared" si="1"/>
        <v>20081.204081632655</v>
      </c>
      <c r="L11" s="43">
        <f t="shared" si="2"/>
        <v>0.11004321218111306</v>
      </c>
      <c r="M11" s="52">
        <f t="shared" si="3"/>
        <v>613.65000000000146</v>
      </c>
      <c r="N11" s="29" t="str">
        <f t="shared" si="4"/>
        <v>Surcroît d'activité (plus d'effectifs)</v>
      </c>
      <c r="O11" s="58" t="str">
        <f t="shared" si="5"/>
        <v>Réduire</v>
      </c>
    </row>
    <row r="12" spans="2:15" ht="16.5" thickBot="1" x14ac:dyDescent="0.3">
      <c r="B12" s="30" t="s">
        <v>14</v>
      </c>
      <c r="C12" s="31" t="s">
        <v>15</v>
      </c>
      <c r="D12" s="32" t="s">
        <v>7</v>
      </c>
      <c r="E12" s="33" t="s">
        <v>24</v>
      </c>
      <c r="F12" s="37">
        <v>1.29</v>
      </c>
      <c r="G12" s="37">
        <v>1.28</v>
      </c>
      <c r="H12" s="53">
        <v>11718.78</v>
      </c>
      <c r="I12" s="53">
        <v>13143.26</v>
      </c>
      <c r="J12" s="54">
        <f t="shared" si="0"/>
        <v>9084.3255813953492</v>
      </c>
      <c r="K12" s="54">
        <f t="shared" si="1"/>
        <v>10268.171875</v>
      </c>
      <c r="L12" s="44">
        <f t="shared" si="2"/>
        <v>0.130317466387286</v>
      </c>
      <c r="M12" s="54">
        <f t="shared" si="3"/>
        <v>1424.4799999999996</v>
      </c>
      <c r="N12" s="34" t="str">
        <f t="shared" si="4"/>
        <v>Surcroît d'activité (plus d'effectifs)</v>
      </c>
      <c r="O12" s="58" t="str">
        <f t="shared" si="5"/>
        <v>Réduire</v>
      </c>
    </row>
    <row r="13" spans="2:15" ht="16.5" thickBot="1" x14ac:dyDescent="0.3">
      <c r="B13" s="20" t="s">
        <v>14</v>
      </c>
      <c r="C13" s="12" t="s">
        <v>15</v>
      </c>
      <c r="D13" s="11" t="s">
        <v>8</v>
      </c>
      <c r="E13" s="13" t="s">
        <v>25</v>
      </c>
      <c r="F13" s="36">
        <v>0.52</v>
      </c>
      <c r="G13" s="36">
        <v>0.66</v>
      </c>
      <c r="H13" s="49">
        <v>188.66</v>
      </c>
      <c r="I13" s="49">
        <v>266.91000000000003</v>
      </c>
      <c r="J13" s="50">
        <f t="shared" si="0"/>
        <v>362.80769230769226</v>
      </c>
      <c r="K13" s="50">
        <f t="shared" si="1"/>
        <v>404.40909090909093</v>
      </c>
      <c r="L13" s="42">
        <f t="shared" si="2"/>
        <v>0.11466515039079461</v>
      </c>
      <c r="M13" s="50">
        <f t="shared" si="3"/>
        <v>78.250000000000028</v>
      </c>
      <c r="N13" s="14" t="str">
        <f t="shared" si="4"/>
        <v>Surcroît d'activité (plus d'effectifs)</v>
      </c>
      <c r="O13" s="58" t="str">
        <f t="shared" si="5"/>
        <v>Réduire</v>
      </c>
    </row>
    <row r="14" spans="2:15" ht="16.5" thickBot="1" x14ac:dyDescent="0.3">
      <c r="B14" s="4" t="s">
        <v>14</v>
      </c>
      <c r="C14" s="1" t="s">
        <v>15</v>
      </c>
      <c r="D14" s="28" t="s">
        <v>9</v>
      </c>
      <c r="E14" s="2" t="s">
        <v>26</v>
      </c>
      <c r="F14" s="3">
        <v>0.45</v>
      </c>
      <c r="G14" s="3">
        <v>0.48</v>
      </c>
      <c r="H14" s="51">
        <v>5912.8</v>
      </c>
      <c r="I14" s="51">
        <v>6561.93</v>
      </c>
      <c r="J14" s="52">
        <f t="shared" si="0"/>
        <v>13139.555555555555</v>
      </c>
      <c r="K14" s="52">
        <f t="shared" si="1"/>
        <v>13670.687500000002</v>
      </c>
      <c r="L14" s="43">
        <f t="shared" si="2"/>
        <v>4.0422367575429781E-2</v>
      </c>
      <c r="M14" s="52">
        <f t="shared" si="3"/>
        <v>649.13000000000011</v>
      </c>
      <c r="N14" s="29" t="str">
        <f t="shared" si="4"/>
        <v>Surcroît d'activité (plus d'effectifs)</v>
      </c>
      <c r="O14" s="58" t="str">
        <f t="shared" si="5"/>
        <v>Pas d'ajustement</v>
      </c>
    </row>
    <row r="15" spans="2:15" ht="16.5" thickBot="1" x14ac:dyDescent="0.3">
      <c r="B15" s="30" t="s">
        <v>16</v>
      </c>
      <c r="C15" s="31" t="s">
        <v>17</v>
      </c>
      <c r="D15" s="32" t="s">
        <v>7</v>
      </c>
      <c r="E15" s="33" t="s">
        <v>24</v>
      </c>
      <c r="F15" s="37">
        <v>0.86</v>
      </c>
      <c r="G15" s="37">
        <v>0.77</v>
      </c>
      <c r="H15" s="53">
        <v>11167.31</v>
      </c>
      <c r="I15" s="53">
        <v>12252.92</v>
      </c>
      <c r="J15" s="54">
        <f t="shared" si="0"/>
        <v>12985.244186046511</v>
      </c>
      <c r="K15" s="54">
        <f t="shared" si="1"/>
        <v>15912.883116883117</v>
      </c>
      <c r="L15" s="44">
        <f t="shared" si="2"/>
        <v>0.2254589046529093</v>
      </c>
      <c r="M15" s="54">
        <f t="shared" si="3"/>
        <v>1085.6100000000006</v>
      </c>
      <c r="N15" s="34" t="str">
        <f t="shared" si="4"/>
        <v>Surcroît d'activité (plus d'effectifs)</v>
      </c>
      <c r="O15" s="58" t="str">
        <f t="shared" si="5"/>
        <v>Réduire</v>
      </c>
    </row>
    <row r="16" spans="2:15" ht="16.5" thickBot="1" x14ac:dyDescent="0.3">
      <c r="B16" s="20" t="s">
        <v>16</v>
      </c>
      <c r="C16" s="12" t="s">
        <v>17</v>
      </c>
      <c r="D16" s="11" t="s">
        <v>8</v>
      </c>
      <c r="E16" s="13" t="s">
        <v>25</v>
      </c>
      <c r="F16" s="36">
        <v>0.11</v>
      </c>
      <c r="G16" s="36">
        <v>0.11</v>
      </c>
      <c r="H16" s="49">
        <v>37.799999999999997</v>
      </c>
      <c r="I16" s="49">
        <v>34.119999999999997</v>
      </c>
      <c r="J16" s="50">
        <f t="shared" si="0"/>
        <v>343.63636363636363</v>
      </c>
      <c r="K16" s="50">
        <f t="shared" si="1"/>
        <v>310.18181818181813</v>
      </c>
      <c r="L16" s="42">
        <f t="shared" si="2"/>
        <v>-9.7354497354497471E-2</v>
      </c>
      <c r="M16" s="50">
        <f t="shared" si="3"/>
        <v>-3.6799999999999997</v>
      </c>
      <c r="N16" s="14" t="str">
        <f t="shared" si="4"/>
        <v>Baisse d'activité (moins d'effectifs)</v>
      </c>
      <c r="O16" s="58" t="str">
        <f t="shared" si="5"/>
        <v>Augmenter</v>
      </c>
    </row>
    <row r="17" spans="2:15" ht="16.5" thickBot="1" x14ac:dyDescent="0.3">
      <c r="B17" s="4" t="s">
        <v>16</v>
      </c>
      <c r="C17" s="1" t="s">
        <v>17</v>
      </c>
      <c r="D17" s="28" t="s">
        <v>9</v>
      </c>
      <c r="E17" s="2" t="s">
        <v>26</v>
      </c>
      <c r="F17" s="3">
        <v>0.43</v>
      </c>
      <c r="G17" s="3">
        <v>0.36</v>
      </c>
      <c r="H17" s="51">
        <v>6675.27</v>
      </c>
      <c r="I17" s="51">
        <v>6853.53</v>
      </c>
      <c r="J17" s="52">
        <f t="shared" si="0"/>
        <v>15523.883720930235</v>
      </c>
      <c r="K17" s="52">
        <f t="shared" si="1"/>
        <v>19037.583333333332</v>
      </c>
      <c r="L17" s="43">
        <f t="shared" si="2"/>
        <v>0.22634153125391657</v>
      </c>
      <c r="M17" s="52">
        <f t="shared" si="3"/>
        <v>178.25999999999931</v>
      </c>
      <c r="N17" s="29" t="str">
        <f t="shared" si="4"/>
        <v>Surcroît d'activité (plus d'effectifs)</v>
      </c>
      <c r="O17" s="58" t="str">
        <f t="shared" si="5"/>
        <v>Réduire</v>
      </c>
    </row>
    <row r="18" spans="2:15" ht="16.5" thickBot="1" x14ac:dyDescent="0.3">
      <c r="B18" s="20" t="s">
        <v>18</v>
      </c>
      <c r="C18" s="12" t="s">
        <v>19</v>
      </c>
      <c r="D18" s="11" t="s">
        <v>7</v>
      </c>
      <c r="E18" s="13" t="s">
        <v>24</v>
      </c>
      <c r="F18" s="36">
        <v>1.28</v>
      </c>
      <c r="G18" s="36">
        <v>1.19</v>
      </c>
      <c r="H18" s="49">
        <v>16254.35</v>
      </c>
      <c r="I18" s="49">
        <v>16483.830000000002</v>
      </c>
      <c r="J18" s="50">
        <f t="shared" si="0"/>
        <v>12698.7109375</v>
      </c>
      <c r="K18" s="50">
        <f t="shared" si="1"/>
        <v>13851.957983193279</v>
      </c>
      <c r="L18" s="42">
        <f t="shared" si="2"/>
        <v>9.0816071912281748E-2</v>
      </c>
      <c r="M18" s="50">
        <f t="shared" si="3"/>
        <v>229.48000000000138</v>
      </c>
      <c r="N18" s="14" t="str">
        <f t="shared" si="4"/>
        <v>Surcroît d'activité (plus d'effectifs)</v>
      </c>
      <c r="O18" s="58" t="str">
        <f t="shared" si="5"/>
        <v>Pas d'ajustement</v>
      </c>
    </row>
    <row r="19" spans="2:15" ht="16.5" thickBot="1" x14ac:dyDescent="0.3">
      <c r="B19" s="20" t="s">
        <v>18</v>
      </c>
      <c r="C19" s="12" t="s">
        <v>19</v>
      </c>
      <c r="D19" s="11" t="s">
        <v>8</v>
      </c>
      <c r="E19" s="13" t="s">
        <v>25</v>
      </c>
      <c r="F19" s="36">
        <v>0.32</v>
      </c>
      <c r="G19" s="36">
        <v>0.37</v>
      </c>
      <c r="H19" s="49">
        <v>291.97000000000003</v>
      </c>
      <c r="I19" s="49">
        <v>348.13</v>
      </c>
      <c r="J19" s="50">
        <f t="shared" si="0"/>
        <v>912.40625000000011</v>
      </c>
      <c r="K19" s="50">
        <f t="shared" si="1"/>
        <v>940.89189189189187</v>
      </c>
      <c r="L19" s="42">
        <f t="shared" si="2"/>
        <v>3.122034936947413E-2</v>
      </c>
      <c r="M19" s="50">
        <f t="shared" si="3"/>
        <v>56.159999999999968</v>
      </c>
      <c r="N19" s="14" t="str">
        <f t="shared" si="4"/>
        <v>Surcroît d'activité (plus d'effectifs)</v>
      </c>
      <c r="O19" s="58" t="str">
        <f t="shared" si="5"/>
        <v>Pas d'ajustement</v>
      </c>
    </row>
    <row r="20" spans="2:15" ht="16.5" thickBot="1" x14ac:dyDescent="0.3">
      <c r="B20" s="21" t="s">
        <v>18</v>
      </c>
      <c r="C20" s="22" t="s">
        <v>19</v>
      </c>
      <c r="D20" s="23" t="s">
        <v>9</v>
      </c>
      <c r="E20" s="24" t="s">
        <v>26</v>
      </c>
      <c r="F20" s="38">
        <v>0.56999999999999995</v>
      </c>
      <c r="G20" s="38">
        <v>0.62</v>
      </c>
      <c r="H20" s="55">
        <v>8421.0300000000007</v>
      </c>
      <c r="I20" s="55">
        <v>9373.19</v>
      </c>
      <c r="J20" s="56">
        <f t="shared" si="0"/>
        <v>14773.736842105265</v>
      </c>
      <c r="K20" s="56">
        <f t="shared" si="1"/>
        <v>15118.048387096775</v>
      </c>
      <c r="L20" s="45">
        <f t="shared" si="2"/>
        <v>2.3305650335548069E-2</v>
      </c>
      <c r="M20" s="56">
        <f t="shared" si="3"/>
        <v>952.15999999999985</v>
      </c>
      <c r="N20" s="25" t="str">
        <f t="shared" si="4"/>
        <v>Surcroît d'activité (plus d'effectifs)</v>
      </c>
      <c r="O20" s="58" t="str">
        <f t="shared" si="5"/>
        <v>Pas d'ajustement</v>
      </c>
    </row>
    <row r="21" spans="2:15" ht="16.5" thickBot="1" x14ac:dyDescent="0.3">
      <c r="B21" s="6"/>
      <c r="C21" s="6"/>
      <c r="D21" s="26"/>
      <c r="E21" s="40" t="s">
        <v>31</v>
      </c>
      <c r="F21" s="39">
        <f>SUM(F3:F20)</f>
        <v>12.609999999999998</v>
      </c>
      <c r="G21" s="39">
        <f>SUM(G3:G20)</f>
        <v>12.719999999999997</v>
      </c>
      <c r="H21" s="57">
        <f>SUM(H3:H20)</f>
        <v>120762.75000000003</v>
      </c>
      <c r="I21" s="57">
        <f>SUM(I3:I20)</f>
        <v>129671.23000000001</v>
      </c>
      <c r="J21" s="57">
        <f t="shared" si="0"/>
        <v>9576.7446471054755</v>
      </c>
      <c r="K21" s="57">
        <f t="shared" si="1"/>
        <v>10194.279088050318</v>
      </c>
      <c r="L21" s="46">
        <f t="shared" si="2"/>
        <v>6.4482709281748402E-2</v>
      </c>
      <c r="M21" s="57">
        <f t="shared" si="3"/>
        <v>8908.4799999999814</v>
      </c>
      <c r="N21" s="27" t="str">
        <f t="shared" si="4"/>
        <v>Surcroît d'activité (plus d'effectifs)</v>
      </c>
      <c r="O21" s="59" t="str">
        <f>IF(OR(L21&lt;=0, M21&lt;0), "Réduire", IF(AND(L21&gt;=0.1, M21&gt;0), "Augmenter", IF(AND(L21&gt;0, L21&lt;0.1, M21&gt;0), "Pas d'ajustement", "Pas d'ajustement")))</f>
        <v>Pas d'ajustement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Proposition d'ajustement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Lalaina Harisoa RAJAONARY</dc:creator>
  <cp:lastModifiedBy>Lalaina Harisoa RAJAONARY</cp:lastModifiedBy>
  <dcterms:created xsi:type="dcterms:W3CDTF">2025-06-16T09:37:53Z</dcterms:created>
  <dcterms:modified xsi:type="dcterms:W3CDTF">2025-06-17T01:36:40Z</dcterms:modified>
</cp:coreProperties>
</file>